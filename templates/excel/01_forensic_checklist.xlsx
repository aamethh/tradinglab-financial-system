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 Schi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2A44"/>
      <sz val="14"/>
    </font>
    <font>
      <i val="1"/>
      <color rgb="0064748B"/>
      <sz val="9"/>
    </font>
    <font>
      <b val="1"/>
      <color rgb="00FFFFFF"/>
    </font>
    <font>
      <b val="1"/>
    </font>
    <font>
      <b val="1"/>
      <color rgb="00DC2626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42" customWidth="1" min="3" max="3"/>
    <col width="8" customWidth="1" min="4" max="4"/>
    <col width="14" customWidth="1" min="5" max="5"/>
    <col width="45" customWidth="1" min="6" max="6"/>
    <col width="10" customWidth="1" min="7" max="7"/>
  </cols>
  <sheetData>
    <row r="1">
      <c r="A1" s="1" t="inlineStr">
        <is>
          <t>AmethQuant — Forensic Checklist (Schilit Framework)</t>
        </is>
      </c>
    </row>
    <row r="2">
      <c r="A2" s="2" t="inlineStr">
        <is>
          <t>Score 0-100 interno (Proposed Addition P1). El entregable cliente es la tabla de banderas con evidencia.</t>
        </is>
      </c>
    </row>
    <row r="4">
      <c r="A4" s="3" t="inlineStr">
        <is>
          <t>#</t>
        </is>
      </c>
      <c r="B4" s="3" t="inlineStr">
        <is>
          <t>Bandera</t>
        </is>
      </c>
      <c r="C4" s="3" t="inlineStr">
        <is>
          <t>Umbral / regla</t>
        </is>
      </c>
      <c r="D4" s="3" t="inlineStr">
        <is>
          <t>Peso</t>
        </is>
      </c>
      <c r="E4" s="3" t="inlineStr">
        <is>
          <t>¿Activa? (SI/NO)</t>
        </is>
      </c>
      <c r="F4" s="3" t="inlineStr">
        <is>
          <t>Evidencia (cita del filing)</t>
        </is>
      </c>
      <c r="G4" s="3" t="inlineStr">
        <is>
          <t>Puntos</t>
        </is>
      </c>
    </row>
    <row r="5">
      <c r="A5" s="4" t="n">
        <v>1</v>
      </c>
      <c r="B5" s="4" t="inlineStr">
        <is>
          <t>FCO / Utilidad Neta</t>
        </is>
      </c>
      <c r="C5" s="4" t="inlineStr">
        <is>
          <t>&lt; 1.0x</t>
        </is>
      </c>
      <c r="D5" s="4" t="n">
        <v>15</v>
      </c>
      <c r="E5" s="4" t="inlineStr">
        <is>
          <t>NO</t>
        </is>
      </c>
      <c r="F5" s="4" t="inlineStr"/>
      <c r="G5">
        <f>IF(E5="SI",D5,0)</f>
        <v/>
      </c>
    </row>
    <row r="6">
      <c r="A6" s="5" t="n">
        <v>2</v>
      </c>
      <c r="B6" s="5" t="inlineStr">
        <is>
          <t>FCO negativo con UN positiva</t>
        </is>
      </c>
      <c r="C6" s="5" t="inlineStr">
        <is>
          <t>FCO&lt;0 y UN&gt;0</t>
        </is>
      </c>
      <c r="D6" s="5" t="n">
        <v>12</v>
      </c>
      <c r="E6" s="5" t="inlineStr">
        <is>
          <t>NO</t>
        </is>
      </c>
      <c r="F6" s="5" t="inlineStr"/>
      <c r="G6">
        <f>IF(E6="SI",D6,0)</f>
        <v/>
      </c>
    </row>
    <row r="7">
      <c r="A7" s="4" t="n">
        <v>3</v>
      </c>
      <c r="B7" s="4" t="inlineStr">
        <is>
          <t>DSO</t>
        </is>
      </c>
      <c r="C7" s="4" t="inlineStr">
        <is>
          <t>&gt; 1.5x histórico</t>
        </is>
      </c>
      <c r="D7" s="4" t="n">
        <v>12</v>
      </c>
      <c r="E7" s="4" t="inlineStr">
        <is>
          <t>NO</t>
        </is>
      </c>
      <c r="F7" s="4" t="inlineStr"/>
      <c r="G7">
        <f>IF(E7="SI",D7,0)</f>
        <v/>
      </c>
    </row>
    <row r="8">
      <c r="A8" s="5" t="n">
        <v>4</v>
      </c>
      <c r="B8" s="5" t="inlineStr">
        <is>
          <t>One-time gains recurrentes</t>
        </is>
      </c>
      <c r="C8" s="5" t="inlineStr">
        <is>
          <t>2+ períodos consecutivos</t>
        </is>
      </c>
      <c r="D8" s="5" t="n">
        <v>10</v>
      </c>
      <c r="E8" s="5" t="inlineStr">
        <is>
          <t>NO</t>
        </is>
      </c>
      <c r="F8" s="5" t="inlineStr"/>
      <c r="G8">
        <f>IF(E8="SI",D8,0)</f>
        <v/>
      </c>
    </row>
    <row r="9">
      <c r="A9" s="4" t="n">
        <v>5</v>
      </c>
      <c r="B9" s="4" t="inlineStr">
        <is>
          <t>Capitalización agresiva</t>
        </is>
      </c>
      <c r="C9" s="4" t="inlineStr">
        <is>
          <t>Capex/Ingresos &gt;1.5x hist. o intangibles +30% YoY</t>
        </is>
      </c>
      <c r="D9" s="4" t="n">
        <v>8</v>
      </c>
      <c r="E9" s="4" t="inlineStr">
        <is>
          <t>NO</t>
        </is>
      </c>
      <c r="F9" s="4" t="inlineStr"/>
      <c r="G9">
        <f>IF(E9="SI",D9,0)</f>
        <v/>
      </c>
    </row>
    <row r="10">
      <c r="A10" s="5" t="n">
        <v>6</v>
      </c>
      <c r="B10" s="5" t="inlineStr">
        <is>
          <t>Patrimonio operativo</t>
        </is>
      </c>
      <c r="C10" s="5" t="inlineStr">
        <is>
          <t>Negativo sin revaluaciones</t>
        </is>
      </c>
      <c r="D10" s="5" t="n">
        <v>10</v>
      </c>
      <c r="E10" s="5" t="inlineStr">
        <is>
          <t>NO</t>
        </is>
      </c>
      <c r="F10" s="5" t="inlineStr"/>
      <c r="G10">
        <f>IF(E10="SI",D10,0)</f>
        <v/>
      </c>
    </row>
    <row r="11">
      <c r="A11" s="4" t="n">
        <v>7</v>
      </c>
      <c r="B11" s="4" t="inlineStr">
        <is>
          <t>Asunto de Énfasis del auditor</t>
        </is>
      </c>
      <c r="C11" s="4" t="inlineStr">
        <is>
          <t>Presente en informe</t>
        </is>
      </c>
      <c r="D11" s="4" t="n">
        <v>10</v>
      </c>
      <c r="E11" s="4" t="inlineStr">
        <is>
          <t>NO</t>
        </is>
      </c>
      <c r="F11" s="4" t="inlineStr"/>
      <c r="G11">
        <f>IF(E11="SI",D11,0)</f>
        <v/>
      </c>
    </row>
    <row r="12">
      <c r="A12" s="5" t="n">
        <v>8</v>
      </c>
      <c r="B12" s="5" t="inlineStr">
        <is>
          <t>Cobertura de intereses</t>
        </is>
      </c>
      <c r="C12" s="5" t="inlineStr">
        <is>
          <t>&lt; 2.0x</t>
        </is>
      </c>
      <c r="D12" s="5" t="n">
        <v>8</v>
      </c>
      <c r="E12" s="5" t="inlineStr">
        <is>
          <t>NO</t>
        </is>
      </c>
      <c r="F12" s="5" t="inlineStr"/>
      <c r="G12">
        <f>IF(E12="SI",D12,0)</f>
        <v/>
      </c>
    </row>
    <row r="13">
      <c r="A13" s="4" t="n">
        <v>9</v>
      </c>
      <c r="B13" s="4" t="inlineStr">
        <is>
          <t>ROIC vs WACC</t>
        </is>
      </c>
      <c r="C13" s="4" t="inlineStr">
        <is>
          <t>ROIC &lt; WACC</t>
        </is>
      </c>
      <c r="D13" s="4" t="n">
        <v>6</v>
      </c>
      <c r="E13" s="4" t="inlineStr">
        <is>
          <t>NO</t>
        </is>
      </c>
      <c r="F13" s="4" t="inlineStr"/>
      <c r="G13">
        <f>IF(E13="SI",D13,0)</f>
        <v/>
      </c>
    </row>
    <row r="14">
      <c r="A14" s="5" t="n">
        <v>10</v>
      </c>
      <c r="B14" s="5" t="inlineStr">
        <is>
          <t>Partes relacionadas</t>
        </is>
      </c>
      <c r="C14" s="5" t="inlineStr">
        <is>
          <t>Material sin detalle</t>
        </is>
      </c>
      <c r="D14" s="5" t="n">
        <v>4</v>
      </c>
      <c r="E14" s="5" t="inlineStr">
        <is>
          <t>NO</t>
        </is>
      </c>
      <c r="F14" s="5" t="inlineStr"/>
      <c r="G14">
        <f>IF(E14="SI",D14,0)</f>
        <v/>
      </c>
    </row>
    <row r="15">
      <c r="A15" s="4" t="n">
        <v>11</v>
      </c>
      <c r="B15" s="4" t="inlineStr">
        <is>
          <t>Divergencia vs sector</t>
        </is>
      </c>
      <c r="C15" s="4" t="inlineStr">
        <is>
          <t>Crecimiento sin explicación</t>
        </is>
      </c>
      <c r="D15" s="4" t="n">
        <v>3</v>
      </c>
      <c r="E15" s="4" t="inlineStr">
        <is>
          <t>NO</t>
        </is>
      </c>
      <c r="F15" s="4" t="inlineStr"/>
      <c r="G15">
        <f>IF(E15="SI",D15,0)</f>
        <v/>
      </c>
    </row>
    <row r="16">
      <c r="A16" s="5" t="n">
        <v>12</v>
      </c>
      <c r="B16" s="5" t="inlineStr">
        <is>
          <t>Deuda/EBITDA</t>
        </is>
      </c>
      <c r="C16" s="5" t="inlineStr">
        <is>
          <t>En alza 3+ períodos</t>
        </is>
      </c>
      <c r="D16" s="5" t="n">
        <v>2</v>
      </c>
      <c r="E16" s="5" t="inlineStr">
        <is>
          <t>NO</t>
        </is>
      </c>
      <c r="F16" s="5" t="inlineStr"/>
      <c r="G16">
        <f>IF(E16="SI",D16,0)</f>
        <v/>
      </c>
    </row>
    <row r="18">
      <c r="F18" s="6" t="inlineStr">
        <is>
          <t>FORENSIC SCORE:</t>
        </is>
      </c>
      <c r="G18" s="7">
        <f>SUM(G5:G16)</f>
        <v/>
      </c>
    </row>
    <row r="19">
      <c r="F19" t="inlineStr">
        <is>
          <t>Nivel:</t>
        </is>
      </c>
      <c r="G19">
        <f>IF(G18&gt;=60,"CRITICO",IF(G18&gt;=35,"ALTO",IF(G18&gt;=15,"MODERADO","BAJO")))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2026-06-12T02:16:43Z</dcterms:created>
  <dcterms:modified xsi:type="dcterms:W3CDTF">2026-06-12T02:16:43Z</dcterms:modified>
</cp:coreProperties>
</file>