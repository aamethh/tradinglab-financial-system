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AmethQuant — Análisis Empresa Industrial</t>
        </is>
      </c>
    </row>
    <row r="2">
      <c r="A2" s="2" t="inlineStr">
        <is>
          <t>Datos primarios obligatorios. No usar agregadores sin verificar contra el filing.</t>
        </is>
      </c>
    </row>
    <row r="4">
      <c r="A4" s="3" t="inlineStr">
        <is>
          <t>Line item</t>
        </is>
      </c>
      <c r="B4" s="3" t="inlineStr">
        <is>
          <t>FY-2</t>
        </is>
      </c>
      <c r="C4" s="3" t="inlineStr">
        <is>
          <t>FY-1</t>
        </is>
      </c>
      <c r="D4" s="3" t="inlineStr">
        <is>
          <t>FY actual</t>
        </is>
      </c>
      <c r="E4" s="3" t="inlineStr">
        <is>
          <t>Fuente (filing + página)</t>
        </is>
      </c>
    </row>
    <row r="5">
      <c r="A5" s="4" t="inlineStr">
        <is>
          <t>Ingresos</t>
        </is>
      </c>
      <c r="B5" s="4" t="n"/>
      <c r="C5" s="4" t="n"/>
      <c r="D5" s="4" t="n"/>
      <c r="E5" s="4" t="inlineStr"/>
    </row>
    <row r="6">
      <c r="A6" s="5" t="inlineStr">
        <is>
          <t>Costo de ventas</t>
        </is>
      </c>
      <c r="B6" s="5" t="n"/>
      <c r="C6" s="5" t="n"/>
      <c r="D6" s="5" t="n"/>
      <c r="E6" s="5" t="inlineStr"/>
    </row>
    <row r="7">
      <c r="A7" s="4" t="inlineStr">
        <is>
          <t>EBITDA</t>
        </is>
      </c>
      <c r="B7" s="4" t="n"/>
      <c r="C7" s="4" t="n"/>
      <c r="D7" s="4" t="n"/>
      <c r="E7" s="4" t="inlineStr"/>
    </row>
    <row r="8">
      <c r="A8" s="5" t="inlineStr">
        <is>
          <t>Utilidad neta</t>
        </is>
      </c>
      <c r="B8" s="5" t="n"/>
      <c r="C8" s="5" t="n"/>
      <c r="D8" s="5" t="n"/>
      <c r="E8" s="5" t="inlineStr"/>
    </row>
    <row r="9">
      <c r="A9" s="4" t="inlineStr">
        <is>
          <t>FCO</t>
        </is>
      </c>
      <c r="B9" s="4" t="n"/>
      <c r="C9" s="4" t="n"/>
      <c r="D9" s="4" t="n"/>
      <c r="E9" s="4" t="inlineStr"/>
    </row>
    <row r="10">
      <c r="A10" s="5" t="inlineStr">
        <is>
          <t>Capex</t>
        </is>
      </c>
      <c r="B10" s="5" t="n"/>
      <c r="C10" s="5" t="n"/>
      <c r="D10" s="5" t="n"/>
      <c r="E10" s="5" t="inlineStr"/>
    </row>
    <row r="11">
      <c r="A11" s="4" t="inlineStr">
        <is>
          <t>Cuentas por cobrar</t>
        </is>
      </c>
      <c r="B11" s="4" t="n"/>
      <c r="C11" s="4" t="n"/>
      <c r="D11" s="4" t="n"/>
      <c r="E11" s="4" t="inlineStr"/>
    </row>
    <row r="12">
      <c r="A12" s="5" t="inlineStr">
        <is>
          <t>Inventario</t>
        </is>
      </c>
      <c r="B12" s="5" t="n"/>
      <c r="C12" s="5" t="n"/>
      <c r="D12" s="5" t="n"/>
      <c r="E12" s="5" t="inlineStr"/>
    </row>
    <row r="13">
      <c r="A13" s="4" t="inlineStr">
        <is>
          <t>Activos totales</t>
        </is>
      </c>
      <c r="B13" s="4" t="n"/>
      <c r="C13" s="4" t="n"/>
      <c r="D13" s="4" t="n"/>
      <c r="E13" s="4" t="inlineStr"/>
    </row>
    <row r="14">
      <c r="A14" s="5" t="inlineStr">
        <is>
          <t>Deuda financiera</t>
        </is>
      </c>
      <c r="B14" s="5" t="n"/>
      <c r="C14" s="5" t="n"/>
      <c r="D14" s="5" t="n"/>
      <c r="E14" s="5" t="inlineStr"/>
    </row>
    <row r="15">
      <c r="A15" s="4" t="inlineStr">
        <is>
          <t>Patrimonio</t>
        </is>
      </c>
      <c r="B15" s="4" t="n"/>
      <c r="C15" s="4" t="n"/>
      <c r="D15" s="4" t="n"/>
      <c r="E15" s="4" t="inlineStr"/>
    </row>
    <row r="16">
      <c r="A16" s="5" t="inlineStr">
        <is>
          <t>Gastos por intereses</t>
        </is>
      </c>
      <c r="B16" s="5" t="n"/>
      <c r="C16" s="5" t="n"/>
      <c r="D16" s="5" t="n"/>
      <c r="E16" s="5" t="inlineStr"/>
    </row>
    <row r="17">
      <c r="A17" s="4" t="inlineStr">
        <is>
          <t>Efectivo</t>
        </is>
      </c>
      <c r="B17" s="4" t="n"/>
      <c r="C17" s="4" t="n"/>
      <c r="D17" s="4" t="n"/>
      <c r="E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8" customWidth="1" min="4" max="4"/>
    <col width="24" customWidth="1" min="5" max="5"/>
  </cols>
  <sheetData>
    <row r="1">
      <c r="A1" s="1" t="inlineStr">
        <is>
          <t>Ratios (15+) — perfil completo</t>
        </is>
      </c>
    </row>
    <row r="2">
      <c r="A2" s="2" t="inlineStr">
        <is>
          <t>Profitabilidad, apalancamiento, liquidez, eficiencia, calidad de caja.</t>
        </is>
      </c>
    </row>
    <row r="4">
      <c r="A4" s="3" t="inlineStr">
        <is>
          <t>Ratio</t>
        </is>
      </c>
      <c r="B4" s="3" t="inlineStr">
        <is>
          <t>Fórmula</t>
        </is>
      </c>
      <c r="C4" s="3" t="inlineStr">
        <is>
          <t>FY actual</t>
        </is>
      </c>
      <c r="D4" s="3" t="inlineStr">
        <is>
          <t>Benchmark</t>
        </is>
      </c>
      <c r="E4" s="3" t="inlineStr">
        <is>
          <t>Señal</t>
        </is>
      </c>
    </row>
    <row r="5">
      <c r="A5" s="4" t="inlineStr">
        <is>
          <t>Margen EBITDA</t>
        </is>
      </c>
      <c r="B5" s="4">
        <f>Inputs!D7/Inputs!D5 (EBITDA/Ingresos)</f>
        <v/>
      </c>
      <c r="C5" s="4" t="n"/>
      <c r="D5" s="4" t="inlineStr"/>
      <c r="E5" s="4" t="inlineStr"/>
    </row>
    <row r="6">
      <c r="A6" s="5" t="inlineStr">
        <is>
          <t>Margen neto</t>
        </is>
      </c>
      <c r="B6" s="5" t="inlineStr">
        <is>
          <t>UN/Ingresos</t>
        </is>
      </c>
      <c r="C6" s="5" t="n"/>
      <c r="D6" s="5" t="inlineStr"/>
      <c r="E6" s="5" t="inlineStr"/>
    </row>
    <row r="7">
      <c r="A7" s="4" t="inlineStr">
        <is>
          <t>ROE</t>
        </is>
      </c>
      <c r="B7" s="4" t="inlineStr">
        <is>
          <t>UN/Patrimonio</t>
        </is>
      </c>
      <c r="C7" s="4" t="n"/>
      <c r="D7" s="4" t="inlineStr"/>
      <c r="E7" s="4" t="inlineStr"/>
    </row>
    <row r="8">
      <c r="A8" s="5" t="inlineStr">
        <is>
          <t>ROA</t>
        </is>
      </c>
      <c r="B8" s="5" t="inlineStr">
        <is>
          <t>UN/Activos</t>
        </is>
      </c>
      <c r="C8" s="5" t="n"/>
      <c r="D8" s="5" t="inlineStr"/>
      <c r="E8" s="5" t="inlineStr"/>
    </row>
    <row r="9">
      <c r="A9" s="4" t="inlineStr">
        <is>
          <t>ROIC</t>
        </is>
      </c>
      <c r="B9" s="4" t="inlineStr">
        <is>
          <t>NOPAT/Capital invertido</t>
        </is>
      </c>
      <c r="C9" s="4" t="n"/>
      <c r="D9" s="4" t="inlineStr"/>
      <c r="E9" s="4" t="inlineStr"/>
    </row>
    <row r="10">
      <c r="A10" s="5" t="inlineStr">
        <is>
          <t>FCO/UN  ⚠ Schilit</t>
        </is>
      </c>
      <c r="B10" s="5" t="inlineStr">
        <is>
          <t>FCO/Utilidad neta — umbral 1.0x</t>
        </is>
      </c>
      <c r="C10" s="5" t="n"/>
      <c r="D10" s="5" t="inlineStr"/>
      <c r="E10" s="5" t="inlineStr"/>
    </row>
    <row r="11">
      <c r="A11" s="4" t="inlineStr">
        <is>
          <t>DSO  ⚠ Schilit</t>
        </is>
      </c>
      <c r="B11" s="4" t="inlineStr">
        <is>
          <t>CxC/Ingresos × 365</t>
        </is>
      </c>
      <c r="C11" s="4" t="n"/>
      <c r="D11" s="4" t="inlineStr"/>
      <c r="E11" s="4" t="inlineStr"/>
    </row>
    <row r="12">
      <c r="A12" s="5" t="inlineStr">
        <is>
          <t>Deuda/EBITDA</t>
        </is>
      </c>
      <c r="B12" s="5" t="inlineStr">
        <is>
          <t>Deuda financiera/EBITDA</t>
        </is>
      </c>
      <c r="C12" s="5" t="n"/>
      <c r="D12" s="5" t="inlineStr"/>
      <c r="E12" s="5" t="inlineStr"/>
    </row>
    <row r="13">
      <c r="A13" s="4" t="inlineStr">
        <is>
          <t>Cobertura intereses</t>
        </is>
      </c>
      <c r="B13" s="4" t="inlineStr">
        <is>
          <t>EBITDA/Intereses — umbral 2.0x</t>
        </is>
      </c>
      <c r="C13" s="4" t="n"/>
      <c r="D13" s="4" t="inlineStr"/>
      <c r="E13" s="4" t="inlineStr"/>
    </row>
    <row r="14">
      <c r="A14" s="5" t="inlineStr">
        <is>
          <t>Current ratio</t>
        </is>
      </c>
      <c r="B14" s="5" t="inlineStr">
        <is>
          <t>Activo corriente/Pasivo corriente</t>
        </is>
      </c>
      <c r="C14" s="5" t="n"/>
      <c r="D14" s="5" t="inlineStr"/>
      <c r="E14" s="5" t="inlineStr"/>
    </row>
    <row r="15">
      <c r="A15" s="4" t="inlineStr">
        <is>
          <t>Capex/Ingresos</t>
        </is>
      </c>
      <c r="B15" s="4" t="inlineStr">
        <is>
          <t>vs promedio histórico</t>
        </is>
      </c>
      <c r="C15" s="4" t="n"/>
      <c r="D15" s="4" t="inlineStr"/>
      <c r="E15" s="4" t="inlineStr"/>
    </row>
    <row r="16">
      <c r="A16" s="5" t="inlineStr">
        <is>
          <t>Crecimiento ingresos YoY</t>
        </is>
      </c>
      <c r="B16" s="5" t="inlineStr">
        <is>
          <t>vs sector</t>
        </is>
      </c>
      <c r="C16" s="5" t="n"/>
      <c r="D16" s="5" t="inlineStr"/>
      <c r="E16" s="5" t="inlineStr"/>
    </row>
    <row r="17">
      <c r="A17" s="4" t="inlineStr">
        <is>
          <t>D/E</t>
        </is>
      </c>
      <c r="B17" s="4" t="inlineStr">
        <is>
          <t>Deuda/Patrimonio</t>
        </is>
      </c>
      <c r="C17" s="4" t="n"/>
      <c r="D17" s="4" t="inlineStr"/>
      <c r="E17" s="4" t="inlineStr"/>
    </row>
    <row r="18">
      <c r="A18" s="5" t="inlineStr">
        <is>
          <t>Margen bruto</t>
        </is>
      </c>
      <c r="B18" s="5" t="inlineStr">
        <is>
          <t>(Ingresos-CoGS)/Ingresos</t>
        </is>
      </c>
      <c r="C18" s="5" t="n"/>
      <c r="D18" s="5" t="inlineStr"/>
      <c r="E18" s="5" t="inlineStr"/>
    </row>
    <row r="19">
      <c r="A19" s="4" t="inlineStr">
        <is>
          <t>CCC</t>
        </is>
      </c>
      <c r="B19" s="4" t="inlineStr">
        <is>
          <t>DSO+DIO-DPO</t>
        </is>
      </c>
      <c r="C19" s="4" t="n"/>
      <c r="D19" s="4" t="inlineStr"/>
      <c r="E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