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3 Escenarios" sheetId="1" state="visible" r:id="rId1"/>
    <sheet name="Sensibilidad WACCxTG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  <font>
      <b val="1"/>
      <color rgb="001F2A4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AmethQuant — Valuation Scenarios (DCF 3 escenarios)</t>
        </is>
      </c>
    </row>
    <row r="2">
      <c r="A2" s="2" t="inlineStr">
        <is>
          <t>Blend 50/50 Gordon Growth + Múltiplo de Salida. Threshold: BUY &gt;15% upside · HOLD 0-15% · SELL &lt;0%.</t>
        </is>
      </c>
    </row>
    <row r="4">
      <c r="A4" s="3" t="inlineStr">
        <is>
          <t>Parámetro</t>
        </is>
      </c>
      <c r="B4" s="3" t="inlineStr">
        <is>
          <t>Bear</t>
        </is>
      </c>
      <c r="C4" s="3" t="inlineStr">
        <is>
          <t>Base</t>
        </is>
      </c>
      <c r="D4" s="3" t="inlineStr">
        <is>
          <t>Bull</t>
        </is>
      </c>
      <c r="E4" s="3" t="inlineStr">
        <is>
          <t>Nota</t>
        </is>
      </c>
    </row>
    <row r="5">
      <c r="A5" s="4" t="inlineStr">
        <is>
          <t>CAGR Ingresos</t>
        </is>
      </c>
      <c r="B5" s="4" t="n"/>
      <c r="C5" s="4" t="n"/>
      <c r="D5" s="4" t="n"/>
      <c r="E5" s="4" t="inlineStr">
        <is>
          <t>Referencia MSFT: 7.8% / 13.4% / 16.0%</t>
        </is>
      </c>
    </row>
    <row r="6">
      <c r="A6" s="5" t="inlineStr">
        <is>
          <t>Margen EBITDA</t>
        </is>
      </c>
      <c r="B6" s="5" t="n"/>
      <c r="C6" s="5" t="n"/>
      <c r="D6" s="5" t="n"/>
      <c r="E6" s="5" t="inlineStr">
        <is>
          <t>MSFT: 49% / 52% / 55%</t>
        </is>
      </c>
    </row>
    <row r="7">
      <c r="A7" s="4" t="inlineStr">
        <is>
          <t>Capex % ingresos</t>
        </is>
      </c>
      <c r="B7" s="4" t="n"/>
      <c r="C7" s="4" t="n"/>
      <c r="D7" s="4" t="n"/>
      <c r="E7" s="4" t="inlineStr"/>
    </row>
    <row r="8">
      <c r="A8" s="5" t="inlineStr">
        <is>
          <t>Tax rate</t>
        </is>
      </c>
      <c r="B8" s="5" t="n"/>
      <c r="C8" s="5" t="n"/>
      <c r="D8" s="5" t="n"/>
      <c r="E8" s="5" t="inlineStr"/>
    </row>
    <row r="9">
      <c r="A9" s="4" t="inlineStr">
        <is>
          <t>WACC (CAPM)</t>
        </is>
      </c>
      <c r="B9" s="4" t="n"/>
      <c r="C9" s="4" t="n"/>
      <c r="D9" s="4" t="n"/>
      <c r="E9" s="4" t="inlineStr">
        <is>
          <t>Rf + Beta × ERP — MSFT base 9.2%</t>
        </is>
      </c>
    </row>
    <row r="10">
      <c r="A10" s="5" t="inlineStr">
        <is>
          <t>TGR (crecimiento terminal)</t>
        </is>
      </c>
      <c r="B10" s="5" t="n"/>
      <c r="C10" s="5" t="n"/>
      <c r="D10" s="5" t="n"/>
      <c r="E10" s="5" t="inlineStr">
        <is>
          <t>MSFT: 2.5% / 3.5% / 4.0%</t>
        </is>
      </c>
    </row>
    <row r="11">
      <c r="A11" s="4" t="inlineStr">
        <is>
          <t>Valor Gordon Growth</t>
        </is>
      </c>
      <c r="B11" s="4" t="n"/>
      <c r="C11" s="4" t="n"/>
      <c r="D11" s="4" t="n"/>
      <c r="E11" s="4" t="inlineStr"/>
    </row>
    <row r="12">
      <c r="A12" s="5" t="inlineStr">
        <is>
          <t>Valor Múltiplo Salida</t>
        </is>
      </c>
      <c r="B12" s="5" t="n"/>
      <c r="C12" s="5" t="n"/>
      <c r="D12" s="5" t="n"/>
      <c r="E12" s="5" t="inlineStr"/>
    </row>
    <row r="13">
      <c r="A13" s="4" t="inlineStr">
        <is>
          <t>Valor intrínseco (50/50)</t>
        </is>
      </c>
      <c r="B13" s="4" t="n"/>
      <c r="C13" s="4" t="n"/>
      <c r="D13" s="4" t="n"/>
      <c r="E13" s="4">
        <f>PROMEDIO(Gordon, Múltiplo)</f>
        <v/>
      </c>
    </row>
    <row r="14">
      <c r="A14" s="5" t="inlineStr">
        <is>
          <t>Precio actual</t>
        </is>
      </c>
      <c r="B14" s="5" t="n"/>
      <c r="C14" s="5" t="n"/>
      <c r="D14" s="5" t="n"/>
      <c r="E14" s="5" t="inlineStr"/>
    </row>
    <row r="15">
      <c r="A15" s="4" t="inlineStr">
        <is>
          <t>Upside %</t>
        </is>
      </c>
      <c r="B15" s="4" t="n"/>
      <c r="C15" s="4" t="n"/>
      <c r="D15" s="4" t="n"/>
      <c r="E15" s="4">
        <f>(Intrínseco/Precio)-1</f>
        <v/>
      </c>
    </row>
    <row r="16">
      <c r="A16" s="5" t="inlineStr">
        <is>
          <t>Rating</t>
        </is>
      </c>
      <c r="B16" s="5" t="n"/>
      <c r="C16" s="5" t="n"/>
      <c r="D16" s="5" t="n"/>
      <c r="E16" s="5">
        <f>SI(upside&gt;15%,"BUY",SI(upside&gt;=0,"HOLD","SELL/AVOID"))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Tabla de sensibilidad 9×5 — WACC (filas) × TGR (columnas)</t>
        </is>
      </c>
    </row>
    <row r="3">
      <c r="A3" t="inlineStr">
        <is>
          <t>WACC \ TGR</t>
        </is>
      </c>
      <c r="B3" s="7" t="n">
        <v>0.02</v>
      </c>
      <c r="C3" s="7" t="n">
        <v>0.025</v>
      </c>
      <c r="D3" s="7" t="n">
        <v>0.03</v>
      </c>
      <c r="E3" s="7" t="n">
        <v>0.035</v>
      </c>
      <c r="F3" s="7" t="n">
        <v>0.04</v>
      </c>
      <c r="H3" t="inlineStr">
        <is>
          <t>Llenar con valor intrínseco por combinación (output de core/dcf.py)</t>
        </is>
      </c>
    </row>
    <row r="4">
      <c r="A4" s="7" t="n">
        <v>0.07000000000000001</v>
      </c>
    </row>
    <row r="5">
      <c r="A5" s="7" t="n">
        <v>0.075</v>
      </c>
    </row>
    <row r="6">
      <c r="A6" s="7" t="n">
        <v>0.08</v>
      </c>
    </row>
    <row r="7">
      <c r="A7" s="7" t="n">
        <v>0.08500000000000001</v>
      </c>
    </row>
    <row r="8">
      <c r="A8" s="7" t="n">
        <v>0.09</v>
      </c>
    </row>
    <row r="9">
      <c r="A9" s="7" t="n">
        <v>0.095</v>
      </c>
    </row>
    <row r="10">
      <c r="A10" s="7" t="n">
        <v>0.1</v>
      </c>
    </row>
    <row r="11">
      <c r="A11" s="7" t="n">
        <v>0.105</v>
      </c>
    </row>
    <row r="12">
      <c r="A12" s="7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